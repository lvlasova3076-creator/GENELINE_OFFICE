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larisa.vlasova/Desktop/Geneline/"/>
    </mc:Choice>
  </mc:AlternateContent>
  <xr:revisionPtr revIDLastSave="0" documentId="8_{DE0441BA-12D2-6A43-A1B8-641005948A4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1" l="1"/>
  <c r="I39" i="1"/>
  <c r="H39" i="1"/>
  <c r="G39" i="1"/>
  <c r="F39" i="1"/>
  <c r="E39" i="1"/>
  <c r="D39" i="1"/>
  <c r="C39" i="1"/>
  <c r="B39" i="1"/>
</calcChain>
</file>

<file path=xl/sharedStrings.xml><?xml version="1.0" encoding="utf-8"?>
<sst xmlns="http://schemas.openxmlformats.org/spreadsheetml/2006/main" count="59" uniqueCount="49">
  <si>
    <t xml:space="preserve">Статья </t>
  </si>
  <si>
    <t xml:space="preserve">Июл'25 </t>
  </si>
  <si>
    <t>Авг'25</t>
  </si>
  <si>
    <t>Сен'25</t>
  </si>
  <si>
    <t>Окт'25</t>
  </si>
  <si>
    <t>Ноя'25</t>
  </si>
  <si>
    <t>Дек'25</t>
  </si>
  <si>
    <t>Янв'26</t>
  </si>
  <si>
    <t>Фев'26</t>
  </si>
  <si>
    <t>Всего</t>
  </si>
  <si>
    <t xml:space="preserve">Доходы </t>
  </si>
  <si>
    <t xml:space="preserve">Возврат денежных средств (приход) </t>
  </si>
  <si>
    <t xml:space="preserve">Обучение </t>
  </si>
  <si>
    <t xml:space="preserve">0 </t>
  </si>
  <si>
    <t xml:space="preserve">Оказание услуг </t>
  </si>
  <si>
    <t xml:space="preserve">Перевод из основной кассы, сейфа </t>
  </si>
  <si>
    <t xml:space="preserve">Пополнение счета </t>
  </si>
  <si>
    <t xml:space="preserve">Продажа абонементов </t>
  </si>
  <si>
    <t xml:space="preserve">Продажа сертификатов </t>
  </si>
  <si>
    <t xml:space="preserve">Продажа товаров </t>
  </si>
  <si>
    <t xml:space="preserve">Продажи Островская </t>
  </si>
  <si>
    <t xml:space="preserve">Проценты по депозиту </t>
  </si>
  <si>
    <t xml:space="preserve">Прочие доходы </t>
  </si>
  <si>
    <t xml:space="preserve">Чаевые </t>
  </si>
  <si>
    <t xml:space="preserve">Расходы </t>
  </si>
  <si>
    <t xml:space="preserve">Аренда </t>
  </si>
  <si>
    <t xml:space="preserve">Возврат денежных средств (расход) </t>
  </si>
  <si>
    <t xml:space="preserve">Закупка материалов </t>
  </si>
  <si>
    <t xml:space="preserve">Закупка товаров </t>
  </si>
  <si>
    <t xml:space="preserve">Зарплата персонала </t>
  </si>
  <si>
    <t xml:space="preserve">Татьяна Сергеевна </t>
  </si>
  <si>
    <t xml:space="preserve">Командировочные расходы </t>
  </si>
  <si>
    <t xml:space="preserve">Комиссии банков </t>
  </si>
  <si>
    <t xml:space="preserve">Комиссия за эквайринг </t>
  </si>
  <si>
    <t xml:space="preserve">Корректировка Расч,счета / Кассы </t>
  </si>
  <si>
    <t xml:space="preserve">Личные расходы </t>
  </si>
  <si>
    <t xml:space="preserve">Налоги и сборы </t>
  </si>
  <si>
    <t xml:space="preserve">Обслуживание бизнес процессов </t>
  </si>
  <si>
    <t xml:space="preserve">Оплата за оборудование </t>
  </si>
  <si>
    <t xml:space="preserve">Перевод ЕВ </t>
  </si>
  <si>
    <t xml:space="preserve">Перевод ТС </t>
  </si>
  <si>
    <t xml:space="preserve">Представительские расходы </t>
  </si>
  <si>
    <t xml:space="preserve">Прочие расходы </t>
  </si>
  <si>
    <t xml:space="preserve">Расходы Островская </t>
  </si>
  <si>
    <t xml:space="preserve">Снятие наличных </t>
  </si>
  <si>
    <t xml:space="preserve">Содержание офиса </t>
  </si>
  <si>
    <t xml:space="preserve">Франшиза </t>
  </si>
  <si>
    <t xml:space="preserve">Франшиза ДНКОМ </t>
  </si>
  <si>
    <t xml:space="preserve">Итого до уплаты налогов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</si>
</sst>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#,##0.00_ ;[Red]\-#,##0.00\ "/>
  </numFmts>
  <fonts count="4" x14ac:knownFonts="1">
    <font>
      <sz val="10"/>
      <color indexed="8"/>
      <name val="Arial"/>
    </font>
    <font>
      <b/>
      <sz val="10"/>
      <color indexed="9"/>
      <name val="Arial"/>
      <family val="2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54"/>
      </patternFill>
    </fill>
    <fill>
      <patternFill patternType="solid">
        <fgColor indexed="9"/>
        <bgColor indexed="26"/>
      </patternFill>
    </fill>
    <fill>
      <patternFill patternType="solid">
        <fgColor theme="5" tint="0.59999389629810485"/>
        <bgColor indexed="26"/>
      </patternFill>
    </fill>
    <fill>
      <patternFill patternType="solid">
        <fgColor theme="9" tint="0.59999389629810485"/>
        <bgColor indexed="26"/>
      </patternFill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 applyFill="0" applyAlignment="0" applyProtection="0">
      <alignment vertical="top" wrapText="1"/>
    </xf>
  </cellStyleXfs>
  <cellXfs count="14">
    <xf numFmtId="0" fontId="0" fillId="0" borderId="0" xfId="0" applyFill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0" fillId="3" borderId="2" xfId="0" applyNumberFormat="1" applyFill="1" applyBorder="1" applyAlignment="1" applyProtection="1">
      <alignment horizontal="left" vertical="center" wrapText="1"/>
    </xf>
    <xf numFmtId="4" fontId="1" fillId="2" borderId="1" xfId="0" applyNumberFormat="1" applyFont="1" applyFill="1" applyBorder="1" applyAlignment="1" applyProtection="1">
      <alignment horizontal="center" vertical="center" wrapText="1"/>
    </xf>
    <xf numFmtId="4" fontId="0" fillId="3" borderId="2" xfId="0" applyNumberFormat="1" applyFill="1" applyBorder="1" applyAlignment="1" applyProtection="1">
      <alignment horizontal="right" vertical="center" wrapText="1"/>
    </xf>
    <xf numFmtId="4" fontId="0" fillId="0" borderId="0" xfId="0" applyNumberFormat="1" applyFill="1" applyAlignment="1" applyProtection="1">
      <alignment vertical="top" wrapText="1"/>
    </xf>
    <xf numFmtId="164" fontId="0" fillId="3" borderId="2" xfId="0" applyNumberFormat="1" applyFill="1" applyBorder="1" applyAlignment="1" applyProtection="1">
      <alignment horizontal="right" vertical="center" wrapText="1"/>
    </xf>
    <xf numFmtId="4" fontId="2" fillId="3" borderId="2" xfId="0" applyNumberFormat="1" applyFont="1" applyFill="1" applyBorder="1" applyAlignment="1" applyProtection="1">
      <alignment horizontal="right" vertical="center" wrapText="1"/>
    </xf>
    <xf numFmtId="165" fontId="0" fillId="3" borderId="2" xfId="0" applyNumberFormat="1" applyFill="1" applyBorder="1" applyAlignment="1" applyProtection="1">
      <alignment horizontal="right" vertical="center" wrapText="1"/>
    </xf>
    <xf numFmtId="49" fontId="0" fillId="4" borderId="2" xfId="0" applyNumberFormat="1" applyFill="1" applyBorder="1" applyAlignment="1" applyProtection="1">
      <alignment horizontal="left" vertical="center" wrapText="1"/>
    </xf>
    <xf numFmtId="4" fontId="3" fillId="4" borderId="2" xfId="0" applyNumberFormat="1" applyFont="1" applyFill="1" applyBorder="1" applyAlignment="1" applyProtection="1">
      <alignment horizontal="right" vertical="center" wrapText="1"/>
    </xf>
    <xf numFmtId="49" fontId="3" fillId="5" borderId="2" xfId="0" applyNumberFormat="1" applyFont="1" applyFill="1" applyBorder="1" applyAlignment="1" applyProtection="1">
      <alignment horizontal="left" vertical="center" wrapText="1"/>
    </xf>
    <xf numFmtId="164" fontId="3" fillId="5" borderId="2" xfId="0" quotePrefix="1" applyNumberFormat="1" applyFont="1" applyFill="1" applyBorder="1" applyAlignment="1" applyProtection="1">
      <alignment horizontal="right" vertical="center" wrapText="1"/>
    </xf>
    <xf numFmtId="164" fontId="3" fillId="5" borderId="2" xfId="0" applyNumberFormat="1" applyFont="1" applyFill="1" applyBorder="1" applyAlignment="1" applyProtection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7F7F7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BFBFB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5A5A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520"/>
  <sheetViews>
    <sheetView showGridLines="0" tabSelected="1" showRuler="0" zoomScaleNormal="100" workbookViewId="0">
      <selection activeCell="B39" sqref="B39:I39"/>
    </sheetView>
  </sheetViews>
  <sheetFormatPr baseColWidth="10" defaultColWidth="8.83203125" defaultRowHeight="18" customHeight="1" x14ac:dyDescent="0.15"/>
  <cols>
    <col min="1" max="1" width="23.1640625" customWidth="1"/>
    <col min="2" max="2" width="13" style="5" customWidth="1"/>
    <col min="3" max="3" width="12.83203125" style="5" customWidth="1"/>
    <col min="4" max="4" width="12.1640625" style="5" customWidth="1"/>
    <col min="5" max="6" width="14.33203125" style="5" customWidth="1"/>
    <col min="7" max="7" width="13.1640625" style="5" customWidth="1"/>
    <col min="8" max="8" width="11.5" style="5" customWidth="1"/>
    <col min="9" max="9" width="13.33203125" style="5" customWidth="1"/>
    <col min="10" max="10" width="16.33203125" style="5" customWidth="1"/>
    <col min="11" max="245" width="16.33203125" customWidth="1"/>
  </cols>
  <sheetData>
    <row r="1" spans="1:10" ht="19" customHeight="1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" customHeight="1" x14ac:dyDescent="0.15">
      <c r="A2" s="9" t="s">
        <v>10</v>
      </c>
      <c r="B2" s="10">
        <v>8902690</v>
      </c>
      <c r="C2" s="10">
        <v>8922899</v>
      </c>
      <c r="D2" s="10">
        <v>4733537</v>
      </c>
      <c r="E2" s="10">
        <v>10567135</v>
      </c>
      <c r="F2" s="10">
        <v>6303617</v>
      </c>
      <c r="G2" s="10">
        <v>10207744</v>
      </c>
      <c r="H2" s="10">
        <v>7948380</v>
      </c>
      <c r="I2" s="10">
        <v>6047120</v>
      </c>
      <c r="J2" s="10">
        <v>63633127</v>
      </c>
    </row>
    <row r="3" spans="1:10" ht="28" x14ac:dyDescent="0.15">
      <c r="A3" s="2" t="s">
        <v>11</v>
      </c>
      <c r="B3" s="7">
        <v>5865</v>
      </c>
      <c r="C3" s="4">
        <v>47923</v>
      </c>
      <c r="D3" s="4">
        <v>4647</v>
      </c>
      <c r="E3" s="4">
        <v>8059</v>
      </c>
      <c r="F3" s="4">
        <v>275539</v>
      </c>
      <c r="G3" s="4">
        <v>2406</v>
      </c>
      <c r="H3" s="4">
        <v>2577</v>
      </c>
      <c r="I3" s="4">
        <v>0</v>
      </c>
      <c r="J3" s="4">
        <v>347016</v>
      </c>
    </row>
    <row r="4" spans="1:10" ht="20" customHeight="1" x14ac:dyDescent="0.15">
      <c r="A4" s="2" t="s">
        <v>12</v>
      </c>
      <c r="B4" s="4" t="s">
        <v>13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340000</v>
      </c>
      <c r="J4" s="4">
        <v>340000</v>
      </c>
    </row>
    <row r="5" spans="1:10" ht="20" customHeight="1" x14ac:dyDescent="0.15">
      <c r="A5" s="2" t="s">
        <v>14</v>
      </c>
      <c r="B5" s="4">
        <v>2924855</v>
      </c>
      <c r="C5" s="4">
        <v>1767762</v>
      </c>
      <c r="D5" s="4">
        <v>1746091</v>
      </c>
      <c r="E5" s="4">
        <v>3166116</v>
      </c>
      <c r="F5" s="4">
        <v>2135304</v>
      </c>
      <c r="G5" s="4">
        <v>2658128</v>
      </c>
      <c r="H5" s="4">
        <v>1840676</v>
      </c>
      <c r="I5" s="4">
        <v>1838667</v>
      </c>
      <c r="J5" s="4">
        <v>18077603</v>
      </c>
    </row>
    <row r="6" spans="1:10" ht="28" x14ac:dyDescent="0.15">
      <c r="A6" s="2" t="s">
        <v>15</v>
      </c>
      <c r="B6" s="4">
        <v>852990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42904</v>
      </c>
      <c r="I6" s="4">
        <v>0</v>
      </c>
      <c r="J6" s="4">
        <v>895894</v>
      </c>
    </row>
    <row r="7" spans="1:10" ht="20" customHeight="1" x14ac:dyDescent="0.15">
      <c r="A7" s="2" t="s">
        <v>16</v>
      </c>
      <c r="B7" s="4">
        <v>15050</v>
      </c>
      <c r="C7" s="4">
        <v>99225</v>
      </c>
      <c r="D7" s="4">
        <v>3875</v>
      </c>
      <c r="E7" s="4">
        <v>40950</v>
      </c>
      <c r="F7" s="4">
        <v>500</v>
      </c>
      <c r="G7" s="4">
        <v>0</v>
      </c>
      <c r="H7" s="4">
        <v>2500</v>
      </c>
      <c r="I7" s="4">
        <v>4925</v>
      </c>
      <c r="J7" s="4">
        <v>167025</v>
      </c>
    </row>
    <row r="8" spans="1:10" ht="20" customHeight="1" x14ac:dyDescent="0.15">
      <c r="A8" s="2" t="s">
        <v>17</v>
      </c>
      <c r="B8" s="4" t="s">
        <v>13</v>
      </c>
      <c r="C8" s="4">
        <v>0</v>
      </c>
      <c r="D8" s="4">
        <v>0</v>
      </c>
      <c r="E8" s="4">
        <v>0</v>
      </c>
      <c r="F8" s="4">
        <v>0</v>
      </c>
      <c r="G8" s="4">
        <v>52000</v>
      </c>
      <c r="H8" s="4">
        <v>0</v>
      </c>
      <c r="I8" s="4">
        <v>0</v>
      </c>
      <c r="J8" s="4">
        <v>52000</v>
      </c>
    </row>
    <row r="9" spans="1:10" ht="20" customHeight="1" x14ac:dyDescent="0.15">
      <c r="A9" s="2" t="s">
        <v>18</v>
      </c>
      <c r="B9" s="4" t="s">
        <v>13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52000</v>
      </c>
      <c r="I9" s="4">
        <v>0</v>
      </c>
      <c r="J9" s="4">
        <v>52000</v>
      </c>
    </row>
    <row r="10" spans="1:10" ht="20" customHeight="1" x14ac:dyDescent="0.15">
      <c r="A10" s="2" t="s">
        <v>19</v>
      </c>
      <c r="B10" s="4">
        <v>5046540</v>
      </c>
      <c r="C10" s="4">
        <v>6972912</v>
      </c>
      <c r="D10" s="4">
        <v>2518630</v>
      </c>
      <c r="E10" s="4">
        <v>6584335</v>
      </c>
      <c r="F10" s="4">
        <v>3325781</v>
      </c>
      <c r="G10" s="4">
        <v>6616455</v>
      </c>
      <c r="H10" s="4">
        <v>5261426</v>
      </c>
      <c r="I10" s="4">
        <v>2482734</v>
      </c>
      <c r="J10" s="4">
        <v>38808814</v>
      </c>
    </row>
    <row r="11" spans="1:10" ht="20" customHeight="1" x14ac:dyDescent="0.15">
      <c r="A11" s="2" t="s">
        <v>20</v>
      </c>
      <c r="B11" s="4" t="s">
        <v>13</v>
      </c>
      <c r="C11" s="4">
        <v>0</v>
      </c>
      <c r="D11" s="4">
        <v>352900</v>
      </c>
      <c r="E11" s="4">
        <v>674900</v>
      </c>
      <c r="F11" s="4">
        <v>496300</v>
      </c>
      <c r="G11" s="4">
        <v>787180</v>
      </c>
      <c r="H11" s="4">
        <v>672680</v>
      </c>
      <c r="I11" s="4">
        <v>1322500</v>
      </c>
      <c r="J11" s="4">
        <v>4306460</v>
      </c>
    </row>
    <row r="12" spans="1:10" ht="20" customHeight="1" x14ac:dyDescent="0.15">
      <c r="A12" s="2" t="s">
        <v>21</v>
      </c>
      <c r="B12" s="4">
        <v>42427</v>
      </c>
      <c r="C12" s="4">
        <v>34051</v>
      </c>
      <c r="D12" s="4">
        <v>107394</v>
      </c>
      <c r="E12" s="4">
        <v>80775</v>
      </c>
      <c r="F12" s="4">
        <v>69376</v>
      </c>
      <c r="G12" s="4">
        <v>91554</v>
      </c>
      <c r="H12" s="4">
        <v>73615</v>
      </c>
      <c r="I12" s="4">
        <v>53186</v>
      </c>
      <c r="J12" s="4">
        <v>552382</v>
      </c>
    </row>
    <row r="13" spans="1:10" ht="20" customHeight="1" x14ac:dyDescent="0.15">
      <c r="A13" s="2" t="s">
        <v>22</v>
      </c>
      <c r="B13" s="4">
        <v>11558</v>
      </c>
      <c r="C13" s="4">
        <v>0</v>
      </c>
      <c r="D13" s="4">
        <v>0</v>
      </c>
      <c r="E13" s="4">
        <v>12000</v>
      </c>
      <c r="F13" s="4">
        <v>817</v>
      </c>
      <c r="G13" s="4">
        <v>20</v>
      </c>
      <c r="H13" s="4">
        <v>0</v>
      </c>
      <c r="I13" s="4">
        <v>5106</v>
      </c>
      <c r="J13" s="4">
        <v>29501</v>
      </c>
    </row>
    <row r="14" spans="1:10" ht="20" customHeight="1" x14ac:dyDescent="0.15">
      <c r="A14" s="2" t="s">
        <v>23</v>
      </c>
      <c r="B14" s="4">
        <v>3405</v>
      </c>
      <c r="C14" s="4">
        <v>1025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4430</v>
      </c>
    </row>
    <row r="15" spans="1:10" ht="20" customHeight="1" x14ac:dyDescent="0.15">
      <c r="A15" s="11" t="s">
        <v>24</v>
      </c>
      <c r="B15" s="12">
        <v>7451412</v>
      </c>
      <c r="C15" s="13">
        <v>6676500</v>
      </c>
      <c r="D15" s="13">
        <v>3883280</v>
      </c>
      <c r="E15" s="13">
        <v>9075052</v>
      </c>
      <c r="F15" s="13">
        <v>8125653</v>
      </c>
      <c r="G15" s="13">
        <v>11158811</v>
      </c>
      <c r="H15" s="13">
        <v>7094171</v>
      </c>
      <c r="I15" s="13">
        <v>7681159</v>
      </c>
      <c r="J15" s="13">
        <v>61146043</v>
      </c>
    </row>
    <row r="16" spans="1:10" ht="20" customHeight="1" x14ac:dyDescent="0.15">
      <c r="A16" s="2" t="s">
        <v>25</v>
      </c>
      <c r="B16" s="6">
        <v>258800</v>
      </c>
      <c r="C16" s="6">
        <v>258398</v>
      </c>
      <c r="D16" s="6">
        <v>255282</v>
      </c>
      <c r="E16" s="6">
        <v>487206</v>
      </c>
      <c r="F16" s="6">
        <v>25003</v>
      </c>
      <c r="G16" s="6">
        <v>267514</v>
      </c>
      <c r="H16" s="6">
        <v>263396</v>
      </c>
      <c r="I16" s="6">
        <v>262143</v>
      </c>
      <c r="J16" s="6">
        <v>2077746</v>
      </c>
    </row>
    <row r="17" spans="1:10" ht="25.25" customHeight="1" x14ac:dyDescent="0.15">
      <c r="A17" s="2" t="s">
        <v>26</v>
      </c>
      <c r="B17" s="6">
        <v>24000</v>
      </c>
      <c r="C17" s="6">
        <v>0</v>
      </c>
      <c r="D17" s="6">
        <v>450000</v>
      </c>
      <c r="E17" s="6">
        <v>212000</v>
      </c>
      <c r="F17" s="6">
        <v>0</v>
      </c>
      <c r="G17" s="6">
        <v>1625</v>
      </c>
      <c r="H17" s="6">
        <v>0</v>
      </c>
      <c r="I17" s="6">
        <v>19800</v>
      </c>
      <c r="J17" s="6">
        <v>707425</v>
      </c>
    </row>
    <row r="18" spans="1:10" ht="20" customHeight="1" x14ac:dyDescent="0.15">
      <c r="A18" s="2" t="s">
        <v>27</v>
      </c>
      <c r="B18" s="6">
        <v>1087057</v>
      </c>
      <c r="C18" s="6">
        <v>488301</v>
      </c>
      <c r="D18" s="6">
        <v>586445</v>
      </c>
      <c r="E18" s="6">
        <v>950308</v>
      </c>
      <c r="F18" s="6">
        <v>529209</v>
      </c>
      <c r="G18" s="6">
        <v>487762</v>
      </c>
      <c r="H18" s="6">
        <v>736204</v>
      </c>
      <c r="I18" s="6">
        <v>212629</v>
      </c>
      <c r="J18" s="6">
        <v>5077916</v>
      </c>
    </row>
    <row r="19" spans="1:10" ht="20" customHeight="1" x14ac:dyDescent="0.15">
      <c r="A19" s="2" t="s">
        <v>28</v>
      </c>
      <c r="B19" s="6">
        <v>228340</v>
      </c>
      <c r="C19" s="6">
        <v>0</v>
      </c>
      <c r="D19" s="6">
        <v>2495</v>
      </c>
      <c r="E19" s="6">
        <v>0</v>
      </c>
      <c r="F19" s="6">
        <v>16972</v>
      </c>
      <c r="G19" s="6">
        <v>0</v>
      </c>
      <c r="H19" s="6">
        <v>0</v>
      </c>
      <c r="I19" s="6">
        <v>0</v>
      </c>
      <c r="J19" s="6">
        <v>247807</v>
      </c>
    </row>
    <row r="20" spans="1:10" ht="20" customHeight="1" x14ac:dyDescent="0.15">
      <c r="A20" s="2" t="s">
        <v>29</v>
      </c>
      <c r="B20" s="6">
        <v>1425242</v>
      </c>
      <c r="C20" s="6">
        <v>758746</v>
      </c>
      <c r="D20" s="6">
        <v>632080</v>
      </c>
      <c r="E20" s="6">
        <v>1374474</v>
      </c>
      <c r="F20" s="6">
        <v>1328639</v>
      </c>
      <c r="G20" s="6">
        <v>2550049</v>
      </c>
      <c r="H20" s="6">
        <v>649736</v>
      </c>
      <c r="I20" s="6">
        <v>1828801</v>
      </c>
      <c r="J20" s="6">
        <v>10547772</v>
      </c>
    </row>
    <row r="21" spans="1:10" ht="28" x14ac:dyDescent="0.15">
      <c r="A21" s="2" t="s">
        <v>31</v>
      </c>
      <c r="B21" s="6">
        <v>370675</v>
      </c>
      <c r="C21" s="6">
        <v>871882</v>
      </c>
      <c r="D21" s="6">
        <v>0</v>
      </c>
      <c r="E21" s="6">
        <v>90711</v>
      </c>
      <c r="F21" s="6">
        <v>320361</v>
      </c>
      <c r="G21" s="6">
        <v>509468</v>
      </c>
      <c r="H21" s="6">
        <v>380151</v>
      </c>
      <c r="I21" s="6">
        <v>1004356</v>
      </c>
      <c r="J21" s="6">
        <v>3547605</v>
      </c>
    </row>
    <row r="22" spans="1:10" ht="20" customHeight="1" x14ac:dyDescent="0.15">
      <c r="A22" s="2" t="s">
        <v>32</v>
      </c>
      <c r="B22" s="6">
        <v>43692</v>
      </c>
      <c r="C22" s="6">
        <v>2789</v>
      </c>
      <c r="D22" s="6">
        <v>4918</v>
      </c>
      <c r="E22" s="6">
        <v>3072</v>
      </c>
      <c r="F22" s="6">
        <v>3068</v>
      </c>
      <c r="G22" s="6">
        <v>3068</v>
      </c>
      <c r="H22" s="6">
        <v>6530</v>
      </c>
      <c r="I22" s="6">
        <v>3097</v>
      </c>
      <c r="J22" s="6">
        <v>70235</v>
      </c>
    </row>
    <row r="23" spans="1:10" ht="20" customHeight="1" x14ac:dyDescent="0.15">
      <c r="A23" s="2" t="s">
        <v>33</v>
      </c>
      <c r="B23" s="6">
        <v>65299</v>
      </c>
      <c r="C23" s="6">
        <v>32457</v>
      </c>
      <c r="D23" s="6">
        <v>18679</v>
      </c>
      <c r="E23" s="6">
        <v>35455</v>
      </c>
      <c r="F23" s="6">
        <v>24841</v>
      </c>
      <c r="G23" s="6">
        <v>26022</v>
      </c>
      <c r="H23" s="6">
        <v>20875</v>
      </c>
      <c r="I23" s="6">
        <v>18949</v>
      </c>
      <c r="J23" s="6">
        <v>242581</v>
      </c>
    </row>
    <row r="24" spans="1:10" ht="28" x14ac:dyDescent="0.15">
      <c r="A24" s="2" t="s">
        <v>34</v>
      </c>
      <c r="B24" s="6" t="s">
        <v>13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24594</v>
      </c>
      <c r="I24" s="6">
        <v>33</v>
      </c>
      <c r="J24" s="6">
        <v>24627</v>
      </c>
    </row>
    <row r="25" spans="1:10" ht="20" customHeight="1" x14ac:dyDescent="0.15">
      <c r="A25" s="2" t="s">
        <v>35</v>
      </c>
      <c r="B25" s="6" t="s">
        <v>13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180000</v>
      </c>
      <c r="I25" s="6">
        <v>480000</v>
      </c>
      <c r="J25" s="6">
        <v>660000</v>
      </c>
    </row>
    <row r="26" spans="1:10" ht="20" customHeight="1" x14ac:dyDescent="0.15">
      <c r="A26" s="2" t="s">
        <v>36</v>
      </c>
      <c r="B26" s="6">
        <v>515839</v>
      </c>
      <c r="C26" s="6">
        <v>62107</v>
      </c>
      <c r="D26" s="6">
        <v>94232</v>
      </c>
      <c r="E26" s="6">
        <v>793865</v>
      </c>
      <c r="F26" s="6">
        <v>196805</v>
      </c>
      <c r="G26" s="6">
        <v>368216</v>
      </c>
      <c r="H26" s="6">
        <v>227838</v>
      </c>
      <c r="I26" s="6">
        <v>378692</v>
      </c>
      <c r="J26" s="6">
        <v>2637597</v>
      </c>
    </row>
    <row r="27" spans="1:10" ht="28" x14ac:dyDescent="0.15">
      <c r="A27" s="2" t="s">
        <v>37</v>
      </c>
      <c r="B27" s="6">
        <v>1807246</v>
      </c>
      <c r="C27" s="6">
        <v>2376432</v>
      </c>
      <c r="D27" s="6">
        <v>1286480</v>
      </c>
      <c r="E27" s="6">
        <v>3403752</v>
      </c>
      <c r="F27" s="6">
        <v>1757460</v>
      </c>
      <c r="G27" s="6">
        <v>5632877</v>
      </c>
      <c r="H27" s="6">
        <v>4243560</v>
      </c>
      <c r="I27" s="6">
        <v>2366589</v>
      </c>
      <c r="J27" s="6">
        <v>22874397</v>
      </c>
    </row>
    <row r="28" spans="1:10" ht="20" customHeight="1" x14ac:dyDescent="0.15">
      <c r="A28" s="2" t="s">
        <v>38</v>
      </c>
      <c r="B28" s="6" t="s">
        <v>13</v>
      </c>
      <c r="C28" s="6">
        <v>1200000</v>
      </c>
      <c r="D28" s="6">
        <v>200000</v>
      </c>
      <c r="E28" s="6">
        <v>200000</v>
      </c>
      <c r="F28" s="6">
        <v>2950687</v>
      </c>
      <c r="G28" s="6">
        <v>0</v>
      </c>
      <c r="H28" s="6">
        <v>0</v>
      </c>
      <c r="I28" s="6">
        <v>30000</v>
      </c>
      <c r="J28" s="6">
        <v>4580687</v>
      </c>
    </row>
    <row r="29" spans="1:10" ht="20" customHeight="1" x14ac:dyDescent="0.15">
      <c r="A29" s="2" t="s">
        <v>39</v>
      </c>
      <c r="B29" s="6">
        <v>878289</v>
      </c>
      <c r="C29" s="6">
        <v>0</v>
      </c>
      <c r="D29" s="6">
        <v>0</v>
      </c>
      <c r="E29" s="6">
        <v>0</v>
      </c>
      <c r="F29" s="6">
        <v>0</v>
      </c>
      <c r="G29" s="6">
        <v>2000</v>
      </c>
      <c r="H29" s="6">
        <v>0</v>
      </c>
      <c r="I29" s="6">
        <v>0</v>
      </c>
      <c r="J29" s="6">
        <v>880289</v>
      </c>
    </row>
    <row r="30" spans="1:10" ht="20" customHeight="1" x14ac:dyDescent="0.15">
      <c r="A30" s="2" t="s">
        <v>40</v>
      </c>
      <c r="B30" s="6" t="s">
        <v>13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1" spans="1:10" ht="20" customHeight="1" x14ac:dyDescent="0.15">
      <c r="A31" s="2" t="s">
        <v>41</v>
      </c>
      <c r="B31" s="6">
        <v>25506</v>
      </c>
      <c r="C31" s="6">
        <v>10472</v>
      </c>
      <c r="D31" s="6">
        <v>62766</v>
      </c>
      <c r="E31" s="6">
        <v>9045</v>
      </c>
      <c r="F31" s="6">
        <v>196000</v>
      </c>
      <c r="G31" s="6">
        <v>189196</v>
      </c>
      <c r="H31" s="6">
        <v>42904</v>
      </c>
      <c r="I31" s="6">
        <v>61278</v>
      </c>
      <c r="J31" s="6">
        <v>597167</v>
      </c>
    </row>
    <row r="32" spans="1:10" ht="20" customHeight="1" x14ac:dyDescent="0.15">
      <c r="A32" s="2" t="s">
        <v>42</v>
      </c>
      <c r="B32" s="6">
        <v>530430</v>
      </c>
      <c r="C32" s="6">
        <v>396565</v>
      </c>
      <c r="D32" s="6">
        <v>88163</v>
      </c>
      <c r="E32" s="6">
        <v>1005255</v>
      </c>
      <c r="F32" s="6">
        <v>567630</v>
      </c>
      <c r="G32" s="6">
        <v>678016</v>
      </c>
      <c r="H32" s="6">
        <v>194869</v>
      </c>
      <c r="I32" s="6">
        <v>550623</v>
      </c>
      <c r="J32" s="6">
        <v>4011552</v>
      </c>
    </row>
    <row r="33" spans="1:10" ht="20" customHeight="1" x14ac:dyDescent="0.15">
      <c r="A33" s="2" t="s">
        <v>43</v>
      </c>
      <c r="B33" s="6" t="s">
        <v>13</v>
      </c>
      <c r="C33" s="6">
        <v>0</v>
      </c>
      <c r="D33" s="6">
        <v>30000</v>
      </c>
      <c r="E33" s="6">
        <v>65000</v>
      </c>
      <c r="F33" s="6">
        <v>0</v>
      </c>
      <c r="G33" s="6">
        <v>143000</v>
      </c>
      <c r="H33" s="6">
        <v>0</v>
      </c>
      <c r="I33" s="6">
        <v>125000</v>
      </c>
      <c r="J33" s="6">
        <v>363000</v>
      </c>
    </row>
    <row r="34" spans="1:10" ht="20" customHeight="1" x14ac:dyDescent="0.15">
      <c r="A34" s="2" t="s">
        <v>44</v>
      </c>
      <c r="B34" s="6" t="s">
        <v>13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ht="20" customHeight="1" x14ac:dyDescent="0.15">
      <c r="A35" s="2" t="s">
        <v>45</v>
      </c>
      <c r="B35" s="6">
        <v>107507</v>
      </c>
      <c r="C35" s="6">
        <v>51667</v>
      </c>
      <c r="D35" s="6">
        <v>41217</v>
      </c>
      <c r="E35" s="6">
        <v>94027</v>
      </c>
      <c r="F35" s="6">
        <v>98030</v>
      </c>
      <c r="G35" s="6">
        <v>55909</v>
      </c>
      <c r="H35" s="6">
        <v>40946</v>
      </c>
      <c r="I35" s="6">
        <v>51279</v>
      </c>
      <c r="J35" s="6">
        <v>540583</v>
      </c>
    </row>
    <row r="36" spans="1:10" ht="20" customHeight="1" x14ac:dyDescent="0.15">
      <c r="A36" s="2" t="s">
        <v>30</v>
      </c>
      <c r="B36" s="6" t="s">
        <v>13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0" customHeight="1" x14ac:dyDescent="0.15">
      <c r="A37" s="2" t="s">
        <v>46</v>
      </c>
      <c r="B37" s="6">
        <v>30486</v>
      </c>
      <c r="C37" s="6">
        <v>28124</v>
      </c>
      <c r="D37" s="6">
        <v>38244</v>
      </c>
      <c r="E37" s="6">
        <v>22651</v>
      </c>
      <c r="F37" s="6">
        <v>4700</v>
      </c>
      <c r="G37" s="6">
        <v>0</v>
      </c>
      <c r="H37" s="6">
        <v>0</v>
      </c>
      <c r="I37" s="6">
        <v>0</v>
      </c>
      <c r="J37" s="6">
        <v>124205</v>
      </c>
    </row>
    <row r="38" spans="1:10" ht="20" customHeight="1" x14ac:dyDescent="0.15">
      <c r="A38" s="2" t="s">
        <v>47</v>
      </c>
      <c r="B38" s="6">
        <v>53000</v>
      </c>
      <c r="C38" s="6">
        <v>138557</v>
      </c>
      <c r="D38" s="6">
        <v>92277</v>
      </c>
      <c r="E38" s="6">
        <v>328228</v>
      </c>
      <c r="F38" s="6">
        <v>106245</v>
      </c>
      <c r="G38" s="6">
        <v>244085</v>
      </c>
      <c r="H38" s="6">
        <v>82564</v>
      </c>
      <c r="I38" s="6">
        <v>287887</v>
      </c>
      <c r="J38" s="6">
        <v>1332845</v>
      </c>
    </row>
    <row r="39" spans="1:10" ht="20" customHeight="1" x14ac:dyDescent="0.15">
      <c r="A39" s="2" t="s">
        <v>48</v>
      </c>
      <c r="B39" s="8">
        <f>B2-B15</f>
        <v>1451278</v>
      </c>
      <c r="C39" s="8">
        <f t="shared" ref="C39:J39" si="0">C2-C15</f>
        <v>2246399</v>
      </c>
      <c r="D39" s="8">
        <f t="shared" si="0"/>
        <v>850257</v>
      </c>
      <c r="E39" s="8">
        <f t="shared" si="0"/>
        <v>1492083</v>
      </c>
      <c r="F39" s="8">
        <f t="shared" si="0"/>
        <v>-1822036</v>
      </c>
      <c r="G39" s="8">
        <f t="shared" si="0"/>
        <v>-951067</v>
      </c>
      <c r="H39" s="8">
        <f t="shared" si="0"/>
        <v>854209</v>
      </c>
      <c r="I39" s="8">
        <f t="shared" si="0"/>
        <v>-1634039</v>
      </c>
      <c r="J39" s="8">
        <f t="shared" si="0"/>
        <v>2487084</v>
      </c>
    </row>
    <row r="65520" ht="13" x14ac:dyDescent="0.15"/>
  </sheetData>
  <sheetProtection selectLockedCells="1" selectUnlockedCells="1"/>
  <pageMargins left="0.5" right="0.5" top="0.75" bottom="0.75" header="0.51180555555555551" footer="0.27777777777777779"/>
  <pageSetup paperSize="9" orientation="portrait"/>
  <headerFooter alignWithMargins="0">
    <oddFooter>&amp;C&amp;12 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Vlasova Larisa</cp:lastModifiedBy>
  <dcterms:created xsi:type="dcterms:W3CDTF">1601-01-01T00:00:00Z</dcterms:created>
  <dcterms:modified xsi:type="dcterms:W3CDTF">2026-04-08T09:03:32Z</dcterms:modified>
</cp:coreProperties>
</file>