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risa.vlasova/Desktop/Geneline/"/>
    </mc:Choice>
  </mc:AlternateContent>
  <xr:revisionPtr revIDLastSave="0" documentId="8_{8D74C8E1-2130-AC49-A7B9-00B3E3000A4C}" xr6:coauthVersionLast="47" xr6:coauthVersionMax="47" xr10:uidLastSave="{00000000-0000-0000-0000-000000000000}"/>
  <bookViews>
    <workbookView xWindow="0" yWindow="500" windowWidth="23260" windowHeight="12460" xr2:uid="{FF68F201-0F1A-4AB4-8A80-82BC001B5E8F}"/>
  </bookViews>
  <sheets>
    <sheet name="Март 2026" sheetId="3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3" l="1"/>
  <c r="I17" i="3"/>
  <c r="G8" i="3"/>
  <c r="I8" i="3"/>
  <c r="H17" i="3"/>
  <c r="J14" i="3"/>
  <c r="I14" i="3" s="1"/>
  <c r="I13" i="3" l="1"/>
  <c r="G6" i="3" l="1"/>
  <c r="I6" i="3" s="1"/>
  <c r="I20" i="3" l="1"/>
  <c r="G7" i="3"/>
  <c r="G10" i="3" l="1"/>
  <c r="G9" i="3"/>
  <c r="G4" i="3"/>
  <c r="I4" i="3" s="1"/>
  <c r="G3" i="3"/>
  <c r="I3" i="3" s="1"/>
  <c r="G11" i="3" l="1"/>
  <c r="I11" i="3" s="1"/>
</calcChain>
</file>

<file path=xl/sharedStrings.xml><?xml version="1.0" encoding="utf-8"?>
<sst xmlns="http://schemas.openxmlformats.org/spreadsheetml/2006/main" count="74" uniqueCount="59">
  <si>
    <t xml:space="preserve">№ п/п </t>
  </si>
  <si>
    <t>Единица измерения (смена, процедуры, месяц, )</t>
  </si>
  <si>
    <t xml:space="preserve">Лина </t>
  </si>
  <si>
    <t>Должность</t>
  </si>
  <si>
    <t xml:space="preserve">Анна </t>
  </si>
  <si>
    <t>Администратор в клинике</t>
  </si>
  <si>
    <t>Администратор на удаленке</t>
  </si>
  <si>
    <t xml:space="preserve">Белла </t>
  </si>
  <si>
    <t>Медсестра</t>
  </si>
  <si>
    <t>Стелла</t>
  </si>
  <si>
    <t>Лазерная эпиляция</t>
  </si>
  <si>
    <t xml:space="preserve">Ольга </t>
  </si>
  <si>
    <t>Восковая эпиляция</t>
  </si>
  <si>
    <t>Елена Алексеевна</t>
  </si>
  <si>
    <t>Фин.руководитель</t>
  </si>
  <si>
    <t>Алик</t>
  </si>
  <si>
    <t>Мусор</t>
  </si>
  <si>
    <t>смена</t>
  </si>
  <si>
    <t>месяц</t>
  </si>
  <si>
    <t>выручка</t>
  </si>
  <si>
    <t>SMM</t>
  </si>
  <si>
    <t>Количество</t>
  </si>
  <si>
    <t>30%</t>
  </si>
  <si>
    <t>40%</t>
  </si>
  <si>
    <t>Стоимость за единиу / Выручка</t>
  </si>
  <si>
    <t>Из кошелька ЕВ</t>
  </si>
  <si>
    <t>Из кошелька ТС</t>
  </si>
  <si>
    <t>Диетолог / нутрициолог</t>
  </si>
  <si>
    <t>Сантехник</t>
  </si>
  <si>
    <t>Алексей</t>
  </si>
  <si>
    <t>Администратор</t>
  </si>
  <si>
    <t>Сотрудник</t>
  </si>
  <si>
    <t>Руководитель отдела продаж</t>
  </si>
  <si>
    <t>Всего начислено</t>
  </si>
  <si>
    <t>Примечания /Остатки прошлого месяца</t>
  </si>
  <si>
    <t xml:space="preserve"> Ольга Викторовна</t>
  </si>
  <si>
    <t>Итого</t>
  </si>
  <si>
    <t xml:space="preserve"> </t>
  </si>
  <si>
    <t xml:space="preserve">
Юлия   Олеговна</t>
  </si>
  <si>
    <t xml:space="preserve">
Джемма Владимировна</t>
  </si>
  <si>
    <t>Мед.советник</t>
  </si>
  <si>
    <t>консультация</t>
  </si>
  <si>
    <t>Лазерная эпиляция (Алекей)</t>
  </si>
  <si>
    <t>Выплата ЗП          05 числа</t>
  </si>
  <si>
    <t xml:space="preserve">Аванс выплата 20 числа      </t>
  </si>
  <si>
    <t>Сумма к выплате наличными 03.04.2026</t>
  </si>
  <si>
    <t>бонус 7%</t>
  </si>
  <si>
    <t>Удержано 18750 за процедуры</t>
  </si>
  <si>
    <t>Выплатила 15.03, 01.04</t>
  </si>
  <si>
    <t>(-5 дней отпуска)</t>
  </si>
  <si>
    <t>32</t>
  </si>
  <si>
    <t>4</t>
  </si>
  <si>
    <t>Лариса Федоровна</t>
  </si>
  <si>
    <t>Операционный директор</t>
  </si>
  <si>
    <t>1</t>
  </si>
  <si>
    <t>Расчет от ЕВ</t>
  </si>
  <si>
    <r>
      <rPr>
        <sz val="11"/>
        <color theme="9" tint="-0.249977111117893"/>
        <rFont val="Calibri"/>
        <family val="2"/>
        <charset val="204"/>
        <scheme val="minor"/>
      </rPr>
      <t>Добавлено (мы должны за февраль) 5000 руб</t>
    </r>
    <r>
      <rPr>
        <sz val="11"/>
        <color rgb="FFFF0000"/>
        <rFont val="Calibri"/>
        <family val="2"/>
        <charset val="204"/>
        <scheme val="minor"/>
      </rPr>
      <t>. Удержано за процедуры 28725</t>
    </r>
  </si>
  <si>
    <t>!Просит получить завтра</t>
  </si>
  <si>
    <t>Удержано за процедуры 3500 (4750-1250(была предоплата))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</si>
</sst>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9" tint="-0.249977111117893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theme="4" tint="-0.249977111117893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  <xf numFmtId="0" fontId="0" fillId="0" borderId="1" xfId="0" applyBorder="1" applyAlignment="1">
      <alignment wrapText="1"/>
    </xf>
    <xf numFmtId="0" fontId="0" fillId="0" borderId="1" xfId="0" applyBorder="1"/>
    <xf numFmtId="3" fontId="0" fillId="0" borderId="1" xfId="0" applyNumberFormat="1" applyBorder="1" applyAlignment="1">
      <alignment wrapText="1"/>
    </xf>
    <xf numFmtId="3" fontId="0" fillId="0" borderId="1" xfId="0" applyNumberFormat="1" applyBorder="1"/>
    <xf numFmtId="4" fontId="0" fillId="0" borderId="1" xfId="0" applyNumberFormat="1" applyBorder="1"/>
    <xf numFmtId="4" fontId="0" fillId="2" borderId="1" xfId="0" applyNumberFormat="1" applyFill="1" applyBorder="1"/>
    <xf numFmtId="49" fontId="0" fillId="0" borderId="1" xfId="0" applyNumberFormat="1" applyBorder="1"/>
    <xf numFmtId="4" fontId="0" fillId="0" borderId="1" xfId="0" applyNumberFormat="1" applyBorder="1" applyAlignment="1">
      <alignment wrapText="1"/>
    </xf>
    <xf numFmtId="1" fontId="0" fillId="0" borderId="0" xfId="0" applyNumberFormat="1"/>
    <xf numFmtId="0" fontId="0" fillId="3" borderId="1" xfId="0" applyFill="1" applyBorder="1"/>
    <xf numFmtId="4" fontId="1" fillId="0" borderId="0" xfId="0" applyNumberFormat="1" applyFont="1"/>
    <xf numFmtId="0" fontId="0" fillId="0" borderId="3" xfId="0" applyBorder="1"/>
    <xf numFmtId="4" fontId="0" fillId="0" borderId="3" xfId="0" applyNumberFormat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0" fillId="0" borderId="4" xfId="0" applyBorder="1"/>
    <xf numFmtId="0" fontId="1" fillId="3" borderId="1" xfId="0" applyFont="1" applyFill="1" applyBorder="1"/>
    <xf numFmtId="4" fontId="4" fillId="0" borderId="0" xfId="0" applyNumberFormat="1" applyFont="1"/>
    <xf numFmtId="0" fontId="1" fillId="3" borderId="1" xfId="0" applyFont="1" applyFill="1" applyBorder="1" applyAlignment="1">
      <alignment wrapText="1"/>
    </xf>
    <xf numFmtId="0" fontId="1" fillId="0" borderId="4" xfId="0" applyFont="1" applyBorder="1"/>
    <xf numFmtId="4" fontId="1" fillId="0" borderId="0" xfId="0" applyNumberFormat="1" applyFont="1" applyAlignment="1">
      <alignment wrapText="1"/>
    </xf>
    <xf numFmtId="0" fontId="1" fillId="0" borderId="0" xfId="0" applyFont="1"/>
    <xf numFmtId="4" fontId="0" fillId="0" borderId="0" xfId="0" applyNumberFormat="1" applyAlignment="1">
      <alignment wrapText="1"/>
    </xf>
    <xf numFmtId="4" fontId="4" fillId="0" borderId="0" xfId="0" applyNumberFormat="1" applyFont="1" applyAlignment="1">
      <alignment wrapText="1"/>
    </xf>
    <xf numFmtId="4" fontId="3" fillId="0" borderId="0" xfId="0" applyNumberFormat="1" applyFont="1" applyAlignment="1">
      <alignment wrapText="1"/>
    </xf>
    <xf numFmtId="4" fontId="5" fillId="0" borderId="0" xfId="0" applyNumberFormat="1" applyFont="1"/>
    <xf numFmtId="4" fontId="1" fillId="0" borderId="0" xfId="0" applyNumberFormat="1" applyFont="1" applyAlignment="1">
      <alignment horizontal="center"/>
    </xf>
    <xf numFmtId="0" fontId="4" fillId="0" borderId="2" xfId="0" applyFont="1" applyBorder="1" applyAlignment="1">
      <alignment wrapText="1"/>
    </xf>
    <xf numFmtId="4" fontId="4" fillId="0" borderId="2" xfId="0" applyNumberFormat="1" applyFont="1" applyBorder="1"/>
    <xf numFmtId="0" fontId="2" fillId="0" borderId="1" xfId="0" applyFont="1" applyBorder="1" applyAlignment="1">
      <alignment wrapText="1"/>
    </xf>
    <xf numFmtId="4" fontId="2" fillId="0" borderId="1" xfId="0" applyNumberFormat="1" applyFont="1" applyBorder="1" applyAlignment="1">
      <alignment wrapText="1"/>
    </xf>
    <xf numFmtId="0" fontId="0" fillId="0" borderId="3" xfId="0" applyBorder="1" applyAlignment="1">
      <alignment wrapText="1"/>
    </xf>
    <xf numFmtId="49" fontId="0" fillId="0" borderId="3" xfId="0" applyNumberFormat="1" applyBorder="1"/>
    <xf numFmtId="4" fontId="0" fillId="0" borderId="3" xfId="0" applyNumberFormat="1" applyBorder="1"/>
    <xf numFmtId="0" fontId="0" fillId="0" borderId="4" xfId="0" applyBorder="1" applyAlignment="1">
      <alignment wrapText="1"/>
    </xf>
    <xf numFmtId="49" fontId="0" fillId="0" borderId="4" xfId="0" applyNumberFormat="1" applyBorder="1"/>
    <xf numFmtId="4" fontId="0" fillId="0" borderId="4" xfId="0" applyNumberFormat="1" applyBorder="1"/>
    <xf numFmtId="0" fontId="4" fillId="0" borderId="2" xfId="0" applyFont="1" applyBorder="1" applyAlignment="1">
      <alignment vertical="top" wrapText="1"/>
    </xf>
    <xf numFmtId="0" fontId="4" fillId="0" borderId="2" xfId="0" applyFont="1" applyBorder="1"/>
    <xf numFmtId="49" fontId="4" fillId="0" borderId="2" xfId="0" applyNumberFormat="1" applyFont="1" applyBorder="1"/>
    <xf numFmtId="0" fontId="2" fillId="0" borderId="1" xfId="0" applyFont="1" applyBorder="1"/>
    <xf numFmtId="4" fontId="0" fillId="2" borderId="4" xfId="0" applyNumberFormat="1" applyFill="1" applyBorder="1"/>
    <xf numFmtId="4" fontId="2" fillId="4" borderId="1" xfId="0" applyNumberFormat="1" applyFont="1" applyFill="1" applyBorder="1" applyAlignment="1">
      <alignment wrapText="1"/>
    </xf>
    <xf numFmtId="4" fontId="2" fillId="2" borderId="1" xfId="0" applyNumberFormat="1" applyFont="1" applyFill="1" applyBorder="1" applyAlignment="1">
      <alignment wrapText="1"/>
    </xf>
    <xf numFmtId="4" fontId="2" fillId="4" borderId="4" xfId="0" applyNumberFormat="1" applyFont="1" applyFill="1" applyBorder="1"/>
    <xf numFmtId="4" fontId="1" fillId="3" borderId="1" xfId="0" applyNumberFormat="1" applyFont="1" applyFill="1" applyBorder="1" applyAlignment="1">
      <alignment wrapText="1"/>
    </xf>
    <xf numFmtId="14" fontId="1" fillId="3" borderId="1" xfId="0" applyNumberFormat="1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2" xfId="0" applyFont="1" applyBorder="1"/>
    <xf numFmtId="49" fontId="1" fillId="0" borderId="2" xfId="0" applyNumberFormat="1" applyFont="1" applyBorder="1"/>
    <xf numFmtId="4" fontId="1" fillId="0" borderId="2" xfId="0" applyNumberFormat="1" applyFont="1" applyBorder="1"/>
    <xf numFmtId="4" fontId="6" fillId="0" borderId="2" xfId="0" applyNumberFormat="1" applyFont="1" applyBorder="1" applyAlignment="1">
      <alignment horizontal="right" wrapText="1"/>
    </xf>
    <xf numFmtId="0" fontId="1" fillId="0" borderId="3" xfId="0" applyFont="1" applyBorder="1" applyAlignment="1">
      <alignment wrapText="1"/>
    </xf>
    <xf numFmtId="0" fontId="1" fillId="0" borderId="3" xfId="0" applyFont="1" applyBorder="1"/>
    <xf numFmtId="49" fontId="1" fillId="0" borderId="3" xfId="0" applyNumberFormat="1" applyFont="1" applyBorder="1"/>
    <xf numFmtId="4" fontId="1" fillId="0" borderId="3" xfId="0" applyNumberFormat="1" applyFont="1" applyBorder="1"/>
    <xf numFmtId="4" fontId="1" fillId="2" borderId="3" xfId="0" applyNumberFormat="1" applyFont="1" applyFill="1" applyBorder="1"/>
    <xf numFmtId="4" fontId="6" fillId="4" borderId="3" xfId="0" applyNumberFormat="1" applyFont="1" applyFill="1" applyBorder="1"/>
    <xf numFmtId="4" fontId="5" fillId="4" borderId="1" xfId="0" applyNumberFormat="1" applyFont="1" applyFill="1" applyBorder="1" applyAlignment="1">
      <alignment horizontal="right" wrapText="1"/>
    </xf>
    <xf numFmtId="4" fontId="7" fillId="3" borderId="1" xfId="0" applyNumberFormat="1" applyFont="1" applyFill="1" applyBorder="1" applyAlignment="1">
      <alignment wrapText="1"/>
    </xf>
    <xf numFmtId="0" fontId="1" fillId="0" borderId="1" xfId="0" applyFont="1" applyBorder="1"/>
    <xf numFmtId="0" fontId="1" fillId="3" borderId="2" xfId="0" applyFont="1" applyFill="1" applyBorder="1" applyAlignment="1">
      <alignment wrapText="1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1E028-CB8C-4AB0-A8C5-1CD525DFC762}">
  <dimension ref="A1:O27"/>
  <sheetViews>
    <sheetView tabSelected="1" zoomScaleNormal="100" workbookViewId="0">
      <selection activeCell="J27" sqref="J27"/>
    </sheetView>
  </sheetViews>
  <sheetFormatPr baseColWidth="10" defaultColWidth="8.83203125" defaultRowHeight="15" x14ac:dyDescent="0.2"/>
  <cols>
    <col min="1" max="1" width="4.5" customWidth="1"/>
    <col min="2" max="2" width="11" customWidth="1"/>
    <col min="3" max="3" width="18.5" style="1" customWidth="1"/>
    <col min="4" max="4" width="14.1640625" customWidth="1"/>
    <col min="5" max="5" width="9.6640625" style="3" customWidth="1"/>
    <col min="6" max="6" width="13.1640625" customWidth="1"/>
    <col min="7" max="7" width="12.1640625" customWidth="1"/>
    <col min="8" max="8" width="12.83203125" customWidth="1"/>
    <col min="9" max="9" width="16.33203125" customWidth="1"/>
    <col min="10" max="10" width="28.83203125" customWidth="1"/>
    <col min="11" max="11" width="13.1640625" style="2" customWidth="1"/>
    <col min="12" max="12" width="14.83203125" style="25" customWidth="1"/>
    <col min="14" max="14" width="16.6640625" customWidth="1"/>
  </cols>
  <sheetData>
    <row r="1" spans="1:15" ht="80" x14ac:dyDescent="0.2">
      <c r="A1" s="4" t="s">
        <v>0</v>
      </c>
      <c r="B1" s="5" t="s">
        <v>31</v>
      </c>
      <c r="C1" s="4" t="s">
        <v>3</v>
      </c>
      <c r="D1" s="4" t="s">
        <v>1</v>
      </c>
      <c r="E1" s="6" t="s">
        <v>21</v>
      </c>
      <c r="F1" s="4" t="s">
        <v>24</v>
      </c>
      <c r="G1" s="4" t="s">
        <v>33</v>
      </c>
      <c r="H1" s="4" t="s">
        <v>44</v>
      </c>
      <c r="I1" s="4" t="s">
        <v>43</v>
      </c>
      <c r="J1" s="4" t="s">
        <v>34</v>
      </c>
    </row>
    <row r="2" spans="1:15" x14ac:dyDescent="0.2">
      <c r="A2" s="4"/>
      <c r="B2" s="65" t="s">
        <v>25</v>
      </c>
      <c r="C2" s="65"/>
      <c r="D2" s="65"/>
      <c r="E2" s="65"/>
      <c r="F2" s="65"/>
      <c r="G2" s="65"/>
      <c r="H2" s="65"/>
      <c r="I2" s="65"/>
      <c r="J2" s="5"/>
    </row>
    <row r="3" spans="1:15" ht="32" x14ac:dyDescent="0.2">
      <c r="A3" s="4">
        <v>1</v>
      </c>
      <c r="B3" s="5" t="s">
        <v>4</v>
      </c>
      <c r="C3" s="4" t="s">
        <v>5</v>
      </c>
      <c r="D3" s="5" t="s">
        <v>17</v>
      </c>
      <c r="E3" s="7">
        <v>18</v>
      </c>
      <c r="F3" s="8">
        <v>9000</v>
      </c>
      <c r="G3" s="8">
        <f t="shared" ref="G3:G4" si="0">E3*F3</f>
        <v>162000</v>
      </c>
      <c r="H3" s="9">
        <v>63000</v>
      </c>
      <c r="I3" s="45">
        <f>G3-H3-18750</f>
        <v>80250</v>
      </c>
      <c r="J3" s="49" t="s">
        <v>47</v>
      </c>
      <c r="K3" s="14"/>
      <c r="L3" s="23"/>
    </row>
    <row r="4" spans="1:15" ht="16" x14ac:dyDescent="0.2">
      <c r="A4" s="5">
        <v>2</v>
      </c>
      <c r="B4" s="5" t="s">
        <v>29</v>
      </c>
      <c r="C4" s="4" t="s">
        <v>30</v>
      </c>
      <c r="D4" s="5" t="s">
        <v>17</v>
      </c>
      <c r="E4" s="7">
        <v>1</v>
      </c>
      <c r="F4" s="8">
        <v>9000</v>
      </c>
      <c r="G4" s="8">
        <f t="shared" si="0"/>
        <v>9000</v>
      </c>
      <c r="H4" s="8">
        <v>0</v>
      </c>
      <c r="I4" s="46">
        <f>G4-H4</f>
        <v>9000</v>
      </c>
      <c r="J4" s="19"/>
      <c r="K4" s="20"/>
      <c r="L4" s="26"/>
    </row>
    <row r="5" spans="1:15" ht="32" x14ac:dyDescent="0.2">
      <c r="A5" s="4">
        <v>3</v>
      </c>
      <c r="B5" s="5" t="s">
        <v>2</v>
      </c>
      <c r="C5" s="4" t="s">
        <v>6</v>
      </c>
      <c r="D5" s="5" t="s">
        <v>18</v>
      </c>
      <c r="E5" s="7"/>
      <c r="F5" s="8">
        <v>33000</v>
      </c>
      <c r="G5" s="8">
        <v>33000</v>
      </c>
      <c r="H5" s="8">
        <v>0</v>
      </c>
      <c r="I5" s="45">
        <v>33000</v>
      </c>
      <c r="J5" s="4" t="s">
        <v>57</v>
      </c>
      <c r="O5" s="12"/>
    </row>
    <row r="6" spans="1:15" ht="16" x14ac:dyDescent="0.2">
      <c r="A6" s="5">
        <v>4</v>
      </c>
      <c r="B6" s="5" t="s">
        <v>7</v>
      </c>
      <c r="C6" s="4" t="s">
        <v>8</v>
      </c>
      <c r="D6" s="5" t="s">
        <v>17</v>
      </c>
      <c r="E6" s="7">
        <v>1</v>
      </c>
      <c r="F6" s="8">
        <v>4000</v>
      </c>
      <c r="G6" s="8">
        <f t="shared" ref="G6" si="1">E6*F6</f>
        <v>4000</v>
      </c>
      <c r="H6" s="9">
        <v>4000</v>
      </c>
      <c r="I6" s="33">
        <f>G6-H6</f>
        <v>0</v>
      </c>
      <c r="J6" s="21"/>
      <c r="K6" s="14"/>
      <c r="L6" s="23"/>
      <c r="M6" s="24"/>
    </row>
    <row r="7" spans="1:15" ht="42.5" customHeight="1" x14ac:dyDescent="0.2">
      <c r="A7" s="30">
        <v>5</v>
      </c>
      <c r="B7" s="40" t="s">
        <v>38</v>
      </c>
      <c r="C7" s="30" t="s">
        <v>27</v>
      </c>
      <c r="D7" s="41" t="s">
        <v>41</v>
      </c>
      <c r="E7" s="42" t="s">
        <v>50</v>
      </c>
      <c r="F7" s="31">
        <v>1000</v>
      </c>
      <c r="G7" s="31">
        <f>E7*F7</f>
        <v>32000</v>
      </c>
      <c r="H7" s="31">
        <v>0</v>
      </c>
      <c r="I7" s="33">
        <f>G7-H7-3500</f>
        <v>28500</v>
      </c>
      <c r="J7" s="64" t="s">
        <v>58</v>
      </c>
      <c r="M7" s="2"/>
      <c r="N7" s="2"/>
      <c r="O7" s="2"/>
    </row>
    <row r="8" spans="1:15" ht="49.75" customHeight="1" thickBot="1" x14ac:dyDescent="0.25">
      <c r="A8" s="30">
        <v>6</v>
      </c>
      <c r="B8" s="50" t="s">
        <v>39</v>
      </c>
      <c r="C8" s="50" t="s">
        <v>40</v>
      </c>
      <c r="D8" s="51" t="s">
        <v>41</v>
      </c>
      <c r="E8" s="52" t="s">
        <v>51</v>
      </c>
      <c r="F8" s="53">
        <v>5000</v>
      </c>
      <c r="G8" s="53">
        <f>E8*F8</f>
        <v>20000</v>
      </c>
      <c r="H8" s="53">
        <v>0</v>
      </c>
      <c r="I8" s="54">
        <f>G8-H8+5000-28725</f>
        <v>-3725</v>
      </c>
      <c r="J8" s="50" t="s">
        <v>56</v>
      </c>
      <c r="M8" s="2"/>
      <c r="N8" s="2"/>
      <c r="O8" s="2"/>
    </row>
    <row r="9" spans="1:15" ht="16" x14ac:dyDescent="0.2">
      <c r="A9" s="15">
        <v>7</v>
      </c>
      <c r="B9" s="15" t="s">
        <v>9</v>
      </c>
      <c r="C9" s="34" t="s">
        <v>10</v>
      </c>
      <c r="D9" s="15" t="s">
        <v>19</v>
      </c>
      <c r="E9" s="35" t="s">
        <v>22</v>
      </c>
      <c r="F9" s="36">
        <v>76905</v>
      </c>
      <c r="G9" s="36">
        <f>E9*F9</f>
        <v>23071.5</v>
      </c>
      <c r="H9" s="36"/>
      <c r="I9" s="16"/>
      <c r="J9" s="17"/>
      <c r="M9" s="2"/>
      <c r="N9" s="2"/>
      <c r="O9" s="2"/>
    </row>
    <row r="10" spans="1:15" ht="32" x14ac:dyDescent="0.2">
      <c r="A10" s="5"/>
      <c r="B10" s="5"/>
      <c r="C10" s="4" t="s">
        <v>42</v>
      </c>
      <c r="D10" s="5" t="s">
        <v>19</v>
      </c>
      <c r="E10" s="10" t="s">
        <v>22</v>
      </c>
      <c r="F10" s="8">
        <v>0</v>
      </c>
      <c r="G10" s="8">
        <f>E10*F10</f>
        <v>0</v>
      </c>
      <c r="H10" s="8"/>
      <c r="I10" s="11"/>
      <c r="J10" s="13"/>
      <c r="M10" s="2"/>
      <c r="N10" s="2"/>
      <c r="O10" s="2"/>
    </row>
    <row r="11" spans="1:15" ht="17" thickBot="1" x14ac:dyDescent="0.25">
      <c r="A11" s="18"/>
      <c r="B11" s="18"/>
      <c r="C11" s="37" t="s">
        <v>36</v>
      </c>
      <c r="D11" s="18"/>
      <c r="E11" s="38"/>
      <c r="F11" s="39"/>
      <c r="G11" s="39">
        <f>G9+G10</f>
        <v>23071.5</v>
      </c>
      <c r="H11" s="44">
        <v>7160</v>
      </c>
      <c r="I11" s="47">
        <f>G11-H11</f>
        <v>15911.5</v>
      </c>
      <c r="J11" s="22"/>
      <c r="K11" s="14"/>
      <c r="L11" s="26"/>
      <c r="M11" s="2"/>
      <c r="N11" s="2"/>
      <c r="O11" s="2"/>
    </row>
    <row r="12" spans="1:15" ht="31.75" customHeight="1" x14ac:dyDescent="0.2">
      <c r="A12" s="15"/>
      <c r="B12" s="55" t="s">
        <v>52</v>
      </c>
      <c r="C12" s="55" t="s">
        <v>53</v>
      </c>
      <c r="D12" s="56" t="s">
        <v>18</v>
      </c>
      <c r="E12" s="57" t="s">
        <v>54</v>
      </c>
      <c r="F12" s="58">
        <v>0</v>
      </c>
      <c r="G12" s="58">
        <v>0</v>
      </c>
      <c r="H12" s="59"/>
      <c r="I12" s="60">
        <v>0</v>
      </c>
      <c r="J12" s="56" t="s">
        <v>55</v>
      </c>
      <c r="K12" s="14"/>
      <c r="L12" s="26"/>
      <c r="M12" s="2"/>
      <c r="N12" s="2"/>
      <c r="O12" s="2"/>
    </row>
    <row r="13" spans="1:15" ht="32" x14ac:dyDescent="0.2">
      <c r="A13" s="5">
        <v>8</v>
      </c>
      <c r="B13" s="4" t="s">
        <v>13</v>
      </c>
      <c r="C13" s="4" t="s">
        <v>14</v>
      </c>
      <c r="D13" s="5" t="s">
        <v>18</v>
      </c>
      <c r="E13" s="7">
        <v>1</v>
      </c>
      <c r="F13" s="8">
        <v>150000</v>
      </c>
      <c r="G13" s="8">
        <v>150000</v>
      </c>
      <c r="H13" s="8">
        <v>0</v>
      </c>
      <c r="I13" s="61">
        <f>150000/21*16-0.71</f>
        <v>114285.00428571428</v>
      </c>
      <c r="J13" s="48" t="s">
        <v>49</v>
      </c>
      <c r="K13" s="29"/>
      <c r="L13" s="27"/>
    </row>
    <row r="14" spans="1:15" ht="32" x14ac:dyDescent="0.2">
      <c r="A14" s="4">
        <v>9</v>
      </c>
      <c r="B14" s="4" t="s">
        <v>35</v>
      </c>
      <c r="C14" s="4" t="s">
        <v>32</v>
      </c>
      <c r="D14" s="5" t="s">
        <v>18</v>
      </c>
      <c r="E14" s="7">
        <v>1</v>
      </c>
      <c r="F14" s="8"/>
      <c r="G14" s="8">
        <v>180000</v>
      </c>
      <c r="H14" s="8">
        <v>17282</v>
      </c>
      <c r="I14" s="45">
        <f>G14-H14+J14</f>
        <v>260044</v>
      </c>
      <c r="J14" s="62">
        <f>L14*7%-0.25</f>
        <v>97326.000000000015</v>
      </c>
      <c r="K14" s="28" t="s">
        <v>46</v>
      </c>
      <c r="L14" s="26">
        <v>1390375</v>
      </c>
      <c r="M14" t="s">
        <v>19</v>
      </c>
      <c r="N14" s="2"/>
    </row>
    <row r="15" spans="1:15" ht="16" x14ac:dyDescent="0.2">
      <c r="A15" s="5">
        <v>10</v>
      </c>
      <c r="B15" s="5" t="s">
        <v>28</v>
      </c>
      <c r="C15" s="4" t="s">
        <v>28</v>
      </c>
      <c r="D15" s="5" t="s">
        <v>18</v>
      </c>
      <c r="E15" s="7">
        <v>1</v>
      </c>
      <c r="F15" s="8"/>
      <c r="G15" s="8">
        <v>7000</v>
      </c>
      <c r="H15" s="8">
        <v>0</v>
      </c>
      <c r="I15" s="45">
        <v>7000</v>
      </c>
      <c r="J15" s="43"/>
    </row>
    <row r="16" spans="1:15" ht="16" x14ac:dyDescent="0.2">
      <c r="A16" s="4">
        <v>11</v>
      </c>
      <c r="B16" s="5" t="s">
        <v>15</v>
      </c>
      <c r="C16" s="4" t="s">
        <v>16</v>
      </c>
      <c r="D16" s="5" t="s">
        <v>18</v>
      </c>
      <c r="E16" s="7">
        <v>1</v>
      </c>
      <c r="F16" s="8"/>
      <c r="G16" s="8">
        <v>3000</v>
      </c>
      <c r="H16" s="8"/>
      <c r="I16" s="45">
        <v>3000</v>
      </c>
      <c r="J16" s="63"/>
    </row>
    <row r="17" spans="1:13" ht="32" x14ac:dyDescent="0.2">
      <c r="A17" s="5"/>
      <c r="B17" s="5"/>
      <c r="C17" s="4"/>
      <c r="D17" s="5"/>
      <c r="E17" s="7"/>
      <c r="F17" s="8"/>
      <c r="G17" s="8"/>
      <c r="H17" s="9">
        <f>H3+H6+H11</f>
        <v>74160</v>
      </c>
      <c r="I17" s="33">
        <f>I3+I5+I7+I11+I13+I14+I15+I16</f>
        <v>541990.50428571436</v>
      </c>
      <c r="J17" s="32" t="s">
        <v>45</v>
      </c>
    </row>
    <row r="18" spans="1:13" x14ac:dyDescent="0.2">
      <c r="A18" s="5"/>
      <c r="B18" s="65" t="s">
        <v>26</v>
      </c>
      <c r="C18" s="65"/>
      <c r="D18" s="65"/>
      <c r="E18" s="65"/>
      <c r="F18" s="65"/>
      <c r="G18" s="65"/>
      <c r="H18" s="65"/>
      <c r="I18" s="65"/>
      <c r="J18" s="5"/>
    </row>
    <row r="19" spans="1:13" ht="16" x14ac:dyDescent="0.2">
      <c r="A19" s="5">
        <v>1</v>
      </c>
      <c r="B19" s="5" t="s">
        <v>4</v>
      </c>
      <c r="C19" s="4" t="s">
        <v>20</v>
      </c>
      <c r="D19" s="5" t="s">
        <v>18</v>
      </c>
      <c r="E19" s="7">
        <v>1</v>
      </c>
      <c r="F19" s="8">
        <v>40000</v>
      </c>
      <c r="G19" s="8"/>
      <c r="H19" s="9">
        <v>20000</v>
      </c>
      <c r="I19" s="46">
        <v>20000</v>
      </c>
      <c r="J19" s="43" t="s">
        <v>48</v>
      </c>
    </row>
    <row r="20" spans="1:13" ht="16" x14ac:dyDescent="0.2">
      <c r="A20" s="5">
        <v>2</v>
      </c>
      <c r="B20" s="5" t="s">
        <v>11</v>
      </c>
      <c r="C20" s="4" t="s">
        <v>12</v>
      </c>
      <c r="D20" s="5" t="s">
        <v>19</v>
      </c>
      <c r="E20" s="10" t="s">
        <v>23</v>
      </c>
      <c r="F20" s="8">
        <v>0</v>
      </c>
      <c r="G20" s="8"/>
      <c r="H20" s="9"/>
      <c r="I20" s="33">
        <f>G20-H20</f>
        <v>0</v>
      </c>
      <c r="J20" s="43"/>
    </row>
    <row r="21" spans="1:13" x14ac:dyDescent="0.2">
      <c r="A21" s="5"/>
      <c r="B21" s="5"/>
      <c r="C21" s="4"/>
      <c r="D21" s="5"/>
      <c r="E21" s="7"/>
      <c r="F21" s="8"/>
      <c r="G21" s="8"/>
      <c r="H21" s="8"/>
      <c r="I21" s="8"/>
      <c r="J21" s="5"/>
    </row>
    <row r="22" spans="1:13" x14ac:dyDescent="0.2">
      <c r="G22" s="2"/>
      <c r="I22" s="2"/>
    </row>
    <row r="23" spans="1:13" x14ac:dyDescent="0.2">
      <c r="G23" s="2"/>
    </row>
    <row r="24" spans="1:13" x14ac:dyDescent="0.2">
      <c r="H24" s="2"/>
      <c r="I24" s="2"/>
    </row>
    <row r="25" spans="1:13" x14ac:dyDescent="0.2">
      <c r="I25" s="2"/>
    </row>
    <row r="26" spans="1:13" x14ac:dyDescent="0.2">
      <c r="I26" s="2"/>
    </row>
    <row r="27" spans="1:13" x14ac:dyDescent="0.2">
      <c r="M27" t="s">
        <v>37</v>
      </c>
    </row>
  </sheetData>
  <mergeCells count="2">
    <mergeCell ref="B2:I2"/>
    <mergeCell ref="B18:I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Март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Vlasova Larisa</cp:lastModifiedBy>
  <dcterms:created xsi:type="dcterms:W3CDTF">2025-08-29T10:11:06Z</dcterms:created>
  <dcterms:modified xsi:type="dcterms:W3CDTF">2026-04-08T09:04:08Z</dcterms:modified>
</cp:coreProperties>
</file>